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rfe\STM32CubeIDE\workspace_1.17.0\HVAC_CleanRoom_Project\Docs\"/>
    </mc:Choice>
  </mc:AlternateContent>
  <xr:revisionPtr revIDLastSave="0" documentId="13_ncr:1_{1C871230-6E52-4764-BA49-D31B377DF265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Заказы" sheetId="1" r:id="rId1"/>
    <sheet name="Детали" sheetId="2" r:id="rId2"/>
    <sheet name="Modul_AI" sheetId="3" r:id="rId3"/>
    <sheet name="Modul_Lokomotiv" sheetId="4" r:id="rId4"/>
    <sheet name="Modul_HUB_Displays" sheetId="5" r:id="rId5"/>
    <sheet name="Modul_Main_PLC" sheetId="6" r:id="rId6"/>
    <sheet name="Modul_Displa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F11" i="4"/>
  <c r="I8" i="4"/>
  <c r="F12" i="4"/>
  <c r="F5" i="7"/>
  <c r="I5" i="7" s="1"/>
  <c r="F9" i="7"/>
  <c r="F4" i="7"/>
  <c r="I4" i="7" s="1"/>
  <c r="F3" i="7"/>
  <c r="I3" i="7" s="1"/>
  <c r="I6" i="7" s="1"/>
  <c r="F12" i="5"/>
  <c r="F6" i="5"/>
  <c r="I6" i="5" s="1"/>
  <c r="F5" i="5"/>
  <c r="I5" i="5" s="1"/>
  <c r="F4" i="5"/>
  <c r="I4" i="5" s="1"/>
  <c r="F3" i="5"/>
  <c r="I3" i="5" s="1"/>
  <c r="F7" i="4"/>
  <c r="I7" i="4" s="1"/>
  <c r="F6" i="4"/>
  <c r="I6" i="4" s="1"/>
  <c r="F5" i="4"/>
  <c r="I5" i="4" s="1"/>
  <c r="F4" i="4"/>
  <c r="I4" i="4" s="1"/>
  <c r="F3" i="4"/>
  <c r="I3" i="4" s="1"/>
  <c r="F12" i="3"/>
  <c r="F4" i="3"/>
  <c r="I4" i="3" s="1"/>
  <c r="F5" i="3"/>
  <c r="F6" i="3"/>
  <c r="F7" i="3"/>
  <c r="F8" i="3"/>
  <c r="I8" i="3" s="1"/>
  <c r="I5" i="3"/>
  <c r="I6" i="3"/>
  <c r="I7" i="3"/>
  <c r="F3" i="3"/>
  <c r="I3" i="3" s="1"/>
  <c r="I10" i="6"/>
  <c r="F14" i="6"/>
  <c r="F15" i="6"/>
  <c r="F13" i="6"/>
  <c r="F4" i="6"/>
  <c r="I4" i="6" s="1"/>
  <c r="F5" i="6"/>
  <c r="I5" i="6" s="1"/>
  <c r="F6" i="6"/>
  <c r="I6" i="6" s="1"/>
  <c r="F7" i="6"/>
  <c r="I7" i="6" s="1"/>
  <c r="F8" i="6"/>
  <c r="I8" i="6" s="1"/>
  <c r="F3" i="6"/>
  <c r="I3" i="6" s="1"/>
  <c r="L3" i="1" a="1"/>
  <c r="L3" i="1" s="1"/>
  <c r="L2" i="1" a="1"/>
  <c r="L2" i="1" s="1"/>
  <c r="J15" i="6" s="1"/>
  <c r="J11" i="5" l="1"/>
  <c r="J13" i="4"/>
  <c r="J12" i="4"/>
  <c r="J9" i="7"/>
  <c r="J10" i="7" s="1"/>
  <c r="J11" i="7" s="1"/>
  <c r="J12" i="5"/>
  <c r="J13" i="5"/>
  <c r="I8" i="5"/>
  <c r="J11" i="4"/>
  <c r="J14" i="6"/>
  <c r="J12" i="3"/>
  <c r="J13" i="3" s="1"/>
  <c r="J14" i="3" s="1"/>
  <c r="J13" i="6"/>
  <c r="J16" i="6"/>
  <c r="I9" i="3"/>
  <c r="J14" i="4" l="1"/>
  <c r="J15" i="4" s="1"/>
  <c r="J14" i="5"/>
  <c r="J15" i="5" s="1"/>
  <c r="J17" i="6"/>
  <c r="J18" i="6" s="1"/>
  <c r="G4" i="1"/>
  <c r="F4" i="1"/>
  <c r="D4" i="1"/>
  <c r="G16" i="2"/>
  <c r="F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<sst xmlns="http://schemas.openxmlformats.org/spreadsheetml/2006/main" count="261" uniqueCount="122">
  <si>
    <t>№</t>
  </si>
  <si>
    <t>Артикул</t>
  </si>
  <si>
    <t>Наименование</t>
  </si>
  <si>
    <t>Цена партии</t>
  </si>
  <si>
    <t>Кол-во в партии</t>
  </si>
  <si>
    <t>Цена за ед.</t>
  </si>
  <si>
    <t>Доставка</t>
  </si>
  <si>
    <t>Кол-во на модуль</t>
  </si>
  <si>
    <t>Сумма</t>
  </si>
  <si>
    <t>Корпус</t>
  </si>
  <si>
    <t>2896241</t>
  </si>
  <si>
    <t>Нижняя часть корпуса (BC 17,8 UT HBUS BK)</t>
  </si>
  <si>
    <t>2279732</t>
  </si>
  <si>
    <t>Верхняя часть корпуса (BC 17,8 OTU MKDSO KMGY)</t>
  </si>
  <si>
    <t>Клеммный блок на плату (MKDSO 1,5/ 4-L-3,5 KMGY)</t>
  </si>
  <si>
    <t>Заглушка (ME B-17,5 MKDSO KMGY)</t>
  </si>
  <si>
    <t>2896102</t>
  </si>
  <si>
    <t>Прозрачная крышка корпуса (BC 17,8 DKL S TRANS)</t>
  </si>
  <si>
    <t>2896322</t>
  </si>
  <si>
    <t>Шинный соединитель на DIN-рейку (HBUS 53,6-16P-3S BK)</t>
  </si>
  <si>
    <t>Идет один на ри модуля</t>
  </si>
  <si>
    <t>Итого корпус</t>
  </si>
  <si>
    <t>Плата</t>
  </si>
  <si>
    <t>SMT026082260698-Y214</t>
  </si>
  <si>
    <t>Печатная плата в сборе Modul_AI</t>
  </si>
  <si>
    <t>Итого плата</t>
  </si>
  <si>
    <t>Всего модуль</t>
  </si>
  <si>
    <t>Номер заказа</t>
  </si>
  <si>
    <t>Дата</t>
  </si>
  <si>
    <t>Поставщик</t>
  </si>
  <si>
    <t>Сумма без НДС (ILS)</t>
  </si>
  <si>
    <t>НДС (ILS)</t>
  </si>
  <si>
    <t>Итого с НДС (ILS)</t>
  </si>
  <si>
    <t>Доставка (ILS)</t>
  </si>
  <si>
    <t>Растаможка (ILS)</t>
  </si>
  <si>
    <t>Курс шекеля</t>
  </si>
  <si>
    <t>183295</t>
  </si>
  <si>
    <t>02/08/2026</t>
  </si>
  <si>
    <t>Phoenix Contact</t>
  </si>
  <si>
    <t>183969</t>
  </si>
  <si>
    <t>18/08/2026</t>
  </si>
  <si>
    <t>2140357A</t>
  </si>
  <si>
    <t>24/08/2026</t>
  </si>
  <si>
    <t>JLCPCB</t>
  </si>
  <si>
    <t>440482</t>
  </si>
  <si>
    <t>08/09/2026</t>
  </si>
  <si>
    <t>Описание</t>
  </si>
  <si>
    <t>Тип (РУС)</t>
  </si>
  <si>
    <t>Количество</t>
  </si>
  <si>
    <t>Цена за шт (EUR/DOL)</t>
  </si>
  <si>
    <t>Итого (ILS)</t>
  </si>
  <si>
    <t>BC 17,8 UT HBUS BK</t>
  </si>
  <si>
    <t>Нижняя часть корпуса</t>
  </si>
  <si>
    <t>2896144</t>
  </si>
  <si>
    <t>BC 17,8 DKL R KMGY</t>
  </si>
  <si>
    <t>Крышка корпуса</t>
  </si>
  <si>
    <t>HBUS 53,6-16P-3S BK</t>
  </si>
  <si>
    <t>Шинный соединитель на DIN-рейку</t>
  </si>
  <si>
    <t>1534550</t>
  </si>
  <si>
    <t>FKDSO 1,5/4-L KMGY</t>
  </si>
  <si>
    <t>Клеммный блок на плату</t>
  </si>
  <si>
    <t>1534556</t>
  </si>
  <si>
    <t>BC 17,8 BS FKDSO KMGY</t>
  </si>
  <si>
    <t>Заглушка клеммника</t>
  </si>
  <si>
    <t>2200701</t>
  </si>
  <si>
    <t>PSTD 0,65X0,65/9-H 2,54</t>
  </si>
  <si>
    <t>Штыревой разъем (гребенка)</t>
  </si>
  <si>
    <t>BC 17,8 OTU MKDSO KMGY</t>
  </si>
  <si>
    <t>Верхняя часть корпуса</t>
  </si>
  <si>
    <t>2896283</t>
  </si>
  <si>
    <t>HBUS 35,6-16P-1S BK</t>
  </si>
  <si>
    <t>183969, 440482</t>
  </si>
  <si>
    <t>BC 17,8 DKL S TRANS</t>
  </si>
  <si>
    <t>Прозрачная крышка корпуса</t>
  </si>
  <si>
    <t>2278432</t>
  </si>
  <si>
    <t>MKDSO 1,5/ 4-L-3,5 KMGY</t>
  </si>
  <si>
    <t>2854115</t>
  </si>
  <si>
    <t>ME B-17,5 MKDSO KMGY</t>
  </si>
  <si>
    <t>Заглушка</t>
  </si>
  <si>
    <t>2278173</t>
  </si>
  <si>
    <t>HBUS-B SET BK</t>
  </si>
  <si>
    <t>Заглушка для шины (комплект)</t>
  </si>
  <si>
    <t>2896199</t>
  </si>
  <si>
    <t>BC 17,6 BS U22 KMGY</t>
  </si>
  <si>
    <t>Заглушка корпуса</t>
  </si>
  <si>
    <t>2896115</t>
  </si>
  <si>
    <t>BC 35,6 DKL S TRANS</t>
  </si>
  <si>
    <t>Rigid Populated printed circuit board (Modul_AI)</t>
  </si>
  <si>
    <t>Печатная плата в сборе</t>
  </si>
  <si>
    <t>BC 107,6 UT HBUS BK - Нижняя часть корпуса</t>
  </si>
  <si>
    <t>BC 107,6 OT U22 KMGY - Верхняя часть корпуса</t>
  </si>
  <si>
    <t>BC 53,6 BS U22 KMGY - Заглушка</t>
  </si>
  <si>
    <t>BC 107,6 DKL S TRANS - Крышка корпуса</t>
  </si>
  <si>
    <t>HBUS 107,6-16P-1S BK - Шинный соединитель для установки на монтажную рейку</t>
  </si>
  <si>
    <t>BC 17,6 BS U22 KMGY - Заглушка</t>
  </si>
  <si>
    <t>Сумма, Шек</t>
  </si>
  <si>
    <t>Цена партии, Шек</t>
  </si>
  <si>
    <t>Цена за ед.Шек</t>
  </si>
  <si>
    <t>Цена партии, $</t>
  </si>
  <si>
    <t>Цена за ед.$</t>
  </si>
  <si>
    <t>W2026092620013720</t>
  </si>
  <si>
    <t>Плата часов RTC</t>
  </si>
  <si>
    <t>W2026092617361097</t>
  </si>
  <si>
    <t>Печатная плата Modul_Main_PLC</t>
  </si>
  <si>
    <t>Налоги,Шек</t>
  </si>
  <si>
    <t>Доставка,$</t>
  </si>
  <si>
    <t>Плата CAN_With MINIPower</t>
  </si>
  <si>
    <t>W2026092617531478</t>
  </si>
  <si>
    <t>Плата CAN</t>
  </si>
  <si>
    <t>W2026092022272339</t>
  </si>
  <si>
    <t>W2026092021060492</t>
  </si>
  <si>
    <t>W2026092021170698</t>
  </si>
  <si>
    <t>Печатная плата в сборе Modul_Lokomotiv</t>
  </si>
  <si>
    <t>W2026083101061515</t>
  </si>
  <si>
    <t>Печатная плата в сборе Modul_HUB_Display</t>
  </si>
  <si>
    <t>Верхняя крышка басис на 3D принтере</t>
  </si>
  <si>
    <t>Верхняя крышка лицевая на 3D принтере</t>
  </si>
  <si>
    <t>Задняя крышка на 3D принтере</t>
  </si>
  <si>
    <t>BC 35,6 UT HBUS BK - Нижняя часть корпуса</t>
  </si>
  <si>
    <t>BC 35,6 OT U22 KMGY - Верхняя часть корпуса</t>
  </si>
  <si>
    <t>BC 35,6 DKL S TRANS - Крышка корпуса</t>
  </si>
  <si>
    <t>HBUS 35,6-16P-1S BK - Шинный соединитель для установки на монтажную рейку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</si>
</sst>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₪-40D]\ * #,##0.00_ ;_ [$₪-40D]\ * \-#,##0.00_ ;_ [$₪-40D]\ * &quot;-&quot;??_ ;_ @_ "/>
    <numFmt numFmtId="175" formatCode="_-[$$-409]* #,##0.00_ ;_-[$$-409]* \-#,##0.00\ ;_-[$$-409]* &quot;-&quot;??_ ;_-@_ "/>
    <numFmt numFmtId="176" formatCode="[$$-409]#,##0.00"/>
    <numFmt numFmtId="179" formatCode="_ [$₪-40D]\ * #,##0.0000_ ;_ [$₪-40D]\ * \-#,##0.0000_ ;_ [$₪-40D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name val="Calibri"/>
    </font>
    <font>
      <b/>
      <sz val="12"/>
      <color rgb="FFFFFFFF"/>
      <name val="Calibri"/>
    </font>
    <font>
      <sz val="10"/>
      <color rgb="FF202020"/>
      <name val="Source Sans Pro"/>
      <family val="2"/>
    </font>
    <font>
      <b/>
      <sz val="16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202020"/>
      <name val="Source Sans Pro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4A7BBB"/>
        <bgColor rgb="FF4A7BBB"/>
      </patternFill>
    </fill>
    <fill>
      <patternFill patternType="solid">
        <fgColor rgb="FFE7E6E6"/>
        <bgColor rgb="FFE7E6E6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center" vertical="center" wrapText="1"/>
    </xf>
    <xf numFmtId="164" fontId="7" fillId="9" borderId="5" xfId="0" applyNumberFormat="1" applyFont="1" applyFill="1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0" fillId="0" borderId="0" xfId="0"/>
    <xf numFmtId="0" fontId="3" fillId="3" borderId="0" xfId="0" applyFont="1" applyFill="1"/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175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9" fontId="7" fillId="8" borderId="5" xfId="0" applyNumberFormat="1" applyFont="1" applyFill="1" applyBorder="1" applyAlignment="1">
      <alignment vertical="center"/>
    </xf>
    <xf numFmtId="164" fontId="2" fillId="4" borderId="1" xfId="0" applyNumberFormat="1" applyFont="1" applyFill="1" applyBorder="1"/>
    <xf numFmtId="164" fontId="2" fillId="5" borderId="2" xfId="0" applyNumberFormat="1" applyFont="1" applyFill="1" applyBorder="1" applyAlignment="1">
      <alignment horizontal="center" vertical="center"/>
    </xf>
    <xf numFmtId="0" fontId="0" fillId="0" borderId="5" xfId="0" applyBorder="1"/>
    <xf numFmtId="0" fontId="3" fillId="3" borderId="7" xfId="0" applyFont="1" applyFill="1" applyBorder="1" applyAlignment="1">
      <alignment horizontal="left" vertical="top"/>
    </xf>
    <xf numFmtId="0" fontId="2" fillId="0" borderId="6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2" fillId="10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DD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en-US</v>
    <v>avyoh7</v>
    <v>268435456</v>
    <v>1</v>
    <v>Powered by Refinitiv</v>
    <v>0</v>
    <v>USD/ILS</v>
    <v>2</v>
    <v>3</v>
    <v>Finance</v>
    <v>4</v>
    <v>3.3374000000000001</v>
    <v>2.7978000000000001</v>
    <v>1.72E-2</v>
    <v>5.6210000000000001E-3</v>
    <v>ILS</v>
    <v>USD</v>
    <v>3.0829</v>
    <v>Currency Pair</v>
    <v>46307.717372685183</v>
    <v>3.0617000000000001</v>
    <v>US Dollar/Israeli Shekel FX Spot Rate</v>
    <v>3.0668000000000002</v>
    <v>3.0600999999999998</v>
    <v>3.0773000000000001</v>
    <v>USDILS</v>
    <v>USD/ILS</v>
  </rv>
  <rv s="1">
    <v>0</v>
  </rv>
  <rv s="0">
    <v>en-US</v>
    <v>av8wcw</v>
    <v>268435456</v>
    <v>1</v>
    <v>Powered by Refinitiv</v>
    <v>0</v>
    <v>EUR/ILS</v>
    <v>2</v>
    <v>3</v>
    <v>Finance</v>
    <v>4</v>
    <v>3.8969</v>
    <v>3.2562000000000002</v>
    <v>6.4000000000000003E-3</v>
    <v>1.867E-3</v>
    <v>ILS</v>
    <v>EUR</v>
    <v>3.4506999999999999</v>
    <v>Currency Pair</v>
    <v>46307.717372685183</v>
    <v>3.4264999999999999</v>
    <v>Euro/Israeli Shekel FX Cross Rate</v>
    <v>3.4264000000000001</v>
    <v>3.4276</v>
    <v>3.4340000000000002</v>
    <v>EURILS</v>
    <v>EUR/ILS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d/mm/yyyy\ h:mm"/>
    </x:dxf>
    <x:dxf>
      <x:numFmt numFmtId="2" formatCode="0.00"/>
    </x:dxf>
  </dxfs>
  <richProperties>
    <rPr n="NumberFormat" t="s"/>
    <rPr n="IsTitleField" t="b"/>
  </richProperties>
  <richStyles>
    <rSty dxfid="0">
      <rpv i="0" xml:space="preserve">_ [$₪-he-IL] * #,##0.00_ ;_ [$₪-he-IL] * -#,##0.00_ ;_ [$₪-he-IL] * "-"??_ ;_ @_ </rpv>
    </rSty>
    <rSty>
      <rpv i="1">1</rpv>
    </rSty>
    <rSty dxfid="1"/>
    <rSty dxfid="2"/>
    <rSty dxfid="3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pane ySplit="1" topLeftCell="A2" activePane="bottomLeft" state="frozen"/>
      <selection pane="bottomLeft" activeCell="L2" sqref="L2"/>
    </sheetView>
  </sheetViews>
  <sheetFormatPr defaultRowHeight="14.4" x14ac:dyDescent="0.3"/>
  <cols>
    <col min="1" max="1" width="15" style="10" customWidth="1"/>
    <col min="2" max="2" width="13" style="10" customWidth="1"/>
    <col min="3" max="3" width="18" style="20" customWidth="1"/>
    <col min="4" max="4" width="22" style="20" customWidth="1"/>
    <col min="5" max="5" width="12" style="20" customWidth="1"/>
    <col min="6" max="6" width="20" style="20" customWidth="1"/>
    <col min="7" max="7" width="17" style="20" customWidth="1"/>
    <col min="8" max="8" width="19" style="20" customWidth="1"/>
    <col min="11" max="11" width="13.33203125" customWidth="1"/>
    <col min="12" max="12" width="14.21875" customWidth="1"/>
  </cols>
  <sheetData>
    <row r="1" spans="1:12" ht="2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K1" s="25" t="s">
        <v>35</v>
      </c>
      <c r="L1" s="26"/>
    </row>
    <row r="2" spans="1:12" ht="21" x14ac:dyDescent="0.3">
      <c r="A2" s="9" t="s">
        <v>36</v>
      </c>
      <c r="B2" s="9" t="s">
        <v>37</v>
      </c>
      <c r="C2" s="19" t="s">
        <v>38</v>
      </c>
      <c r="D2" s="21">
        <v>1815.8</v>
      </c>
      <c r="E2" s="21">
        <v>326.83999999999997</v>
      </c>
      <c r="F2" s="21">
        <v>2142.64</v>
      </c>
      <c r="G2" s="21">
        <v>0</v>
      </c>
      <c r="H2" s="21">
        <v>0</v>
      </c>
      <c r="K2" s="12" t="e" vm="1">
        <v>#VALUE!</v>
      </c>
      <c r="L2" s="38" cm="1">
        <f t="array" aca="1" ref="L2" ca="1">_FV(K2,"Price")</f>
        <v>3.0773000000000001</v>
      </c>
    </row>
    <row r="3" spans="1:12" ht="28.8" customHeight="1" x14ac:dyDescent="0.3">
      <c r="A3" s="9" t="s">
        <v>39</v>
      </c>
      <c r="B3" s="9" t="s">
        <v>40</v>
      </c>
      <c r="C3" s="19" t="s">
        <v>38</v>
      </c>
      <c r="D3" s="21">
        <v>825.96</v>
      </c>
      <c r="E3" s="21">
        <v>148.66999999999999</v>
      </c>
      <c r="F3" s="21">
        <v>974.63</v>
      </c>
      <c r="G3" s="21">
        <v>0</v>
      </c>
      <c r="H3" s="21">
        <v>0</v>
      </c>
      <c r="K3" s="12" t="e" vm="2">
        <v>#VALUE!</v>
      </c>
      <c r="L3" s="13" cm="1">
        <f t="array" aca="1" ref="L3" ca="1">_FV(K3,"Price")</f>
        <v>3.4340000000000002</v>
      </c>
    </row>
    <row r="4" spans="1:12" x14ac:dyDescent="0.3">
      <c r="A4" s="7" t="s">
        <v>41</v>
      </c>
      <c r="B4" s="7" t="s">
        <v>42</v>
      </c>
      <c r="C4" s="7" t="s">
        <v>43</v>
      </c>
      <c r="D4" s="14">
        <f ca="1">156.07*L2</f>
        <v>480.27421099999998</v>
      </c>
      <c r="E4" s="14">
        <v>0</v>
      </c>
      <c r="F4" s="14">
        <f ca="1">156.07*L2</f>
        <v>480.27421099999998</v>
      </c>
      <c r="G4" s="14">
        <f ca="1">25.29*L2</f>
        <v>77.824916999999999</v>
      </c>
      <c r="H4" s="14">
        <v>0</v>
      </c>
    </row>
    <row r="5" spans="1:12" x14ac:dyDescent="0.3">
      <c r="A5" s="18" t="s">
        <v>44</v>
      </c>
      <c r="B5" s="18" t="s">
        <v>45</v>
      </c>
      <c r="C5" s="18" t="s">
        <v>38</v>
      </c>
      <c r="D5" s="14">
        <v>488.98</v>
      </c>
      <c r="E5" s="14">
        <v>88.02</v>
      </c>
      <c r="F5" s="14">
        <v>577</v>
      </c>
      <c r="G5" s="14">
        <v>0</v>
      </c>
      <c r="H5" s="14">
        <v>0</v>
      </c>
      <c r="K5">
        <v>3.5015000000000001</v>
      </c>
    </row>
  </sheetData>
  <mergeCells count="1">
    <mergeCell ref="K1:L1"/>
  </mergeCells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1" topLeftCell="A2" activePane="bottomLeft" state="frozen"/>
      <selection pane="bottomLeft" activeCell="J12" sqref="J12"/>
    </sheetView>
  </sheetViews>
  <sheetFormatPr defaultRowHeight="14.4" x14ac:dyDescent="0.3"/>
  <cols>
    <col min="1" max="1" width="13.21875" style="16" bestFit="1" customWidth="1"/>
    <col min="2" max="2" width="21.5546875" bestFit="1" customWidth="1"/>
    <col min="3" max="3" width="40.6640625" bestFit="1" customWidth="1"/>
    <col min="4" max="4" width="32.33203125" bestFit="1" customWidth="1"/>
    <col min="5" max="5" width="11.109375" style="10" bestFit="1" customWidth="1"/>
    <col min="6" max="6" width="20.44140625" style="10" bestFit="1" customWidth="1"/>
    <col min="7" max="7" width="11.44140625" style="10" bestFit="1" customWidth="1"/>
  </cols>
  <sheetData>
    <row r="1" spans="1:7" x14ac:dyDescent="0.3">
      <c r="A1" s="11" t="s">
        <v>27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3">
      <c r="A2" s="15" t="s">
        <v>36</v>
      </c>
      <c r="B2" s="2" t="s">
        <v>10</v>
      </c>
      <c r="C2" s="2" t="s">
        <v>51</v>
      </c>
      <c r="D2" s="2" t="s">
        <v>52</v>
      </c>
      <c r="E2" s="9">
        <v>10</v>
      </c>
      <c r="F2" s="9">
        <v>2.72</v>
      </c>
      <c r="G2" s="9">
        <v>95.72</v>
      </c>
    </row>
    <row r="3" spans="1:7" x14ac:dyDescent="0.3">
      <c r="A3" s="15" t="s">
        <v>36</v>
      </c>
      <c r="B3" s="2" t="s">
        <v>53</v>
      </c>
      <c r="C3" s="2" t="s">
        <v>54</v>
      </c>
      <c r="D3" s="2" t="s">
        <v>55</v>
      </c>
      <c r="E3" s="9">
        <v>10</v>
      </c>
      <c r="F3" s="9">
        <v>1.22</v>
      </c>
      <c r="G3" s="9">
        <v>42.93</v>
      </c>
    </row>
    <row r="4" spans="1:7" x14ac:dyDescent="0.3">
      <c r="A4" s="15" t="s">
        <v>36</v>
      </c>
      <c r="B4" s="2" t="s">
        <v>18</v>
      </c>
      <c r="C4" s="2" t="s">
        <v>56</v>
      </c>
      <c r="D4" s="2" t="s">
        <v>57</v>
      </c>
      <c r="E4" s="9">
        <v>10</v>
      </c>
      <c r="F4" s="9">
        <v>16.829999999999998</v>
      </c>
      <c r="G4" s="9">
        <v>592.25</v>
      </c>
    </row>
    <row r="5" spans="1:7" x14ac:dyDescent="0.3">
      <c r="A5" s="15" t="s">
        <v>36</v>
      </c>
      <c r="B5" s="2" t="s">
        <v>58</v>
      </c>
      <c r="C5" s="2" t="s">
        <v>59</v>
      </c>
      <c r="D5" s="2" t="s">
        <v>60</v>
      </c>
      <c r="E5" s="9">
        <v>50</v>
      </c>
      <c r="F5" s="9">
        <v>1.94</v>
      </c>
      <c r="G5" s="9">
        <v>341.34</v>
      </c>
    </row>
    <row r="6" spans="1:7" x14ac:dyDescent="0.3">
      <c r="A6" s="15" t="s">
        <v>36</v>
      </c>
      <c r="B6" s="2" t="s">
        <v>61</v>
      </c>
      <c r="C6" s="2" t="s">
        <v>62</v>
      </c>
      <c r="D6" s="2" t="s">
        <v>63</v>
      </c>
      <c r="E6" s="9">
        <v>50</v>
      </c>
      <c r="F6" s="9">
        <v>0.56000000000000005</v>
      </c>
      <c r="G6" s="9">
        <v>98.53</v>
      </c>
    </row>
    <row r="7" spans="1:7" x14ac:dyDescent="0.3">
      <c r="A7" s="15" t="s">
        <v>36</v>
      </c>
      <c r="B7" s="2" t="s">
        <v>64</v>
      </c>
      <c r="C7" s="2" t="s">
        <v>65</v>
      </c>
      <c r="D7" s="2" t="s">
        <v>66</v>
      </c>
      <c r="E7" s="9">
        <v>50</v>
      </c>
      <c r="F7" s="9">
        <v>1.0900000000000001</v>
      </c>
      <c r="G7" s="9">
        <v>191.79</v>
      </c>
    </row>
    <row r="8" spans="1:7" x14ac:dyDescent="0.3">
      <c r="A8" s="15" t="s">
        <v>36</v>
      </c>
      <c r="B8" s="2" t="s">
        <v>12</v>
      </c>
      <c r="C8" s="2" t="s">
        <v>67</v>
      </c>
      <c r="D8" s="2" t="s">
        <v>68</v>
      </c>
      <c r="E8" s="9">
        <v>10</v>
      </c>
      <c r="F8" s="9">
        <v>1.81</v>
      </c>
      <c r="G8" s="9">
        <v>63.69</v>
      </c>
    </row>
    <row r="9" spans="1:7" x14ac:dyDescent="0.3">
      <c r="A9" s="15" t="s">
        <v>36</v>
      </c>
      <c r="B9" s="2" t="s">
        <v>69</v>
      </c>
      <c r="C9" s="2" t="s">
        <v>70</v>
      </c>
      <c r="D9" s="2" t="s">
        <v>57</v>
      </c>
      <c r="E9" s="9">
        <v>10</v>
      </c>
      <c r="F9" s="9">
        <v>11.07</v>
      </c>
      <c r="G9" s="9">
        <v>389.55</v>
      </c>
    </row>
    <row r="10" spans="1:7" x14ac:dyDescent="0.3">
      <c r="A10" s="15" t="s">
        <v>71</v>
      </c>
      <c r="B10" s="2" t="s">
        <v>16</v>
      </c>
      <c r="C10" s="2" t="s">
        <v>72</v>
      </c>
      <c r="D10" s="2" t="s">
        <v>73</v>
      </c>
      <c r="E10" s="9">
        <v>20</v>
      </c>
      <c r="F10" s="9">
        <v>1.5</v>
      </c>
      <c r="G10" s="9">
        <v>103.8</v>
      </c>
    </row>
    <row r="11" spans="1:7" x14ac:dyDescent="0.3">
      <c r="A11" s="15" t="s">
        <v>71</v>
      </c>
      <c r="B11" s="2" t="s">
        <v>74</v>
      </c>
      <c r="C11" s="2" t="s">
        <v>75</v>
      </c>
      <c r="D11" s="2" t="s">
        <v>60</v>
      </c>
      <c r="E11" s="9">
        <v>100</v>
      </c>
      <c r="F11" s="9">
        <v>1.57</v>
      </c>
      <c r="G11" s="9">
        <v>543.24</v>
      </c>
    </row>
    <row r="12" spans="1:7" x14ac:dyDescent="0.3">
      <c r="A12" s="15" t="s">
        <v>71</v>
      </c>
      <c r="B12" s="2" t="s">
        <v>76</v>
      </c>
      <c r="C12" s="2" t="s">
        <v>77</v>
      </c>
      <c r="D12" s="2" t="s">
        <v>78</v>
      </c>
      <c r="E12" s="9">
        <v>60</v>
      </c>
      <c r="F12" s="9">
        <v>0.43</v>
      </c>
      <c r="G12" s="9">
        <v>89.27</v>
      </c>
    </row>
    <row r="13" spans="1:7" x14ac:dyDescent="0.3">
      <c r="A13" s="15" t="s">
        <v>71</v>
      </c>
      <c r="B13" s="2" t="s">
        <v>79</v>
      </c>
      <c r="C13" s="2" t="s">
        <v>80</v>
      </c>
      <c r="D13" s="2" t="s">
        <v>81</v>
      </c>
      <c r="E13" s="9">
        <v>20</v>
      </c>
      <c r="F13" s="9">
        <v>1.71</v>
      </c>
      <c r="G13" s="9">
        <v>118.34</v>
      </c>
    </row>
    <row r="14" spans="1:7" x14ac:dyDescent="0.3">
      <c r="A14" s="15" t="s">
        <v>39</v>
      </c>
      <c r="B14" s="2" t="s">
        <v>82</v>
      </c>
      <c r="C14" s="2" t="s">
        <v>83</v>
      </c>
      <c r="D14" s="2" t="s">
        <v>84</v>
      </c>
      <c r="E14" s="9">
        <v>50</v>
      </c>
      <c r="F14" s="9">
        <v>2.04</v>
      </c>
      <c r="G14" s="9">
        <v>348.71</v>
      </c>
    </row>
    <row r="15" spans="1:7" x14ac:dyDescent="0.3">
      <c r="A15" s="15" t="s">
        <v>71</v>
      </c>
      <c r="B15" s="2" t="s">
        <v>85</v>
      </c>
      <c r="C15" s="2" t="s">
        <v>86</v>
      </c>
      <c r="D15" s="2" t="s">
        <v>73</v>
      </c>
      <c r="E15" s="9">
        <v>20</v>
      </c>
      <c r="F15" s="9">
        <v>1.61</v>
      </c>
      <c r="G15" s="9">
        <v>111.41</v>
      </c>
    </row>
    <row r="16" spans="1:7" x14ac:dyDescent="0.3">
      <c r="A16" s="8" t="s">
        <v>41</v>
      </c>
      <c r="B16" s="7" t="s">
        <v>23</v>
      </c>
      <c r="C16" s="8" t="s">
        <v>87</v>
      </c>
      <c r="D16" s="7" t="s">
        <v>88</v>
      </c>
      <c r="E16" s="7">
        <v>2</v>
      </c>
      <c r="F16" s="17">
        <f ca="1">77.44*Заказы!L3</f>
        <v>265.92896000000002</v>
      </c>
      <c r="G16" s="17">
        <f ca="1">154.87*Заказы!L3</f>
        <v>531.82357999999999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selection activeCell="J14" sqref="J14"/>
    </sheetView>
  </sheetViews>
  <sheetFormatPr defaultRowHeight="14.4" x14ac:dyDescent="0.3"/>
  <cols>
    <col min="1" max="1" width="3.109375" bestFit="1" customWidth="1"/>
    <col min="2" max="2" width="21.5546875" bestFit="1" customWidth="1"/>
    <col min="3" max="3" width="51.6640625" bestFit="1" customWidth="1"/>
    <col min="4" max="4" width="14.21875" bestFit="1" customWidth="1"/>
    <col min="5" max="5" width="15.21875" bestFit="1" customWidth="1"/>
    <col min="6" max="6" width="12" bestFit="1" customWidth="1"/>
    <col min="7" max="7" width="10.6640625" bestFit="1" customWidth="1"/>
    <col min="8" max="8" width="16.77734375" bestFit="1" customWidth="1"/>
    <col min="9" max="9" width="12" bestFit="1" customWidth="1"/>
    <col min="10" max="10" width="22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ht="15.6" customHeight="1" x14ac:dyDescent="0.3">
      <c r="A2" s="24" t="s">
        <v>9</v>
      </c>
      <c r="B2" s="23"/>
      <c r="C2" s="23"/>
      <c r="D2" s="23"/>
      <c r="E2" s="23"/>
      <c r="F2" s="23"/>
      <c r="G2" s="23"/>
      <c r="H2" s="23"/>
      <c r="I2" s="23"/>
    </row>
    <row r="3" spans="1:10" x14ac:dyDescent="0.3">
      <c r="A3" s="4">
        <v>1</v>
      </c>
      <c r="B3" s="4" t="s">
        <v>10</v>
      </c>
      <c r="C3" s="5" t="s">
        <v>11</v>
      </c>
      <c r="D3" s="30">
        <v>122.42</v>
      </c>
      <c r="E3" s="4">
        <v>10</v>
      </c>
      <c r="F3" s="30">
        <f>SUM(D3/E3)</f>
        <v>12.242000000000001</v>
      </c>
      <c r="G3" s="30">
        <v>0</v>
      </c>
      <c r="H3" s="4">
        <v>1</v>
      </c>
      <c r="I3" s="30">
        <f>SUM(F3*H3+G3/E3)</f>
        <v>12.242000000000001</v>
      </c>
    </row>
    <row r="4" spans="1:10" x14ac:dyDescent="0.3">
      <c r="A4" s="4">
        <v>2</v>
      </c>
      <c r="B4" s="4" t="s">
        <v>12</v>
      </c>
      <c r="C4" s="5" t="s">
        <v>13</v>
      </c>
      <c r="D4" s="30">
        <v>63.69</v>
      </c>
      <c r="E4" s="4">
        <v>10</v>
      </c>
      <c r="F4" s="30">
        <f t="shared" ref="F4:F8" si="0">SUM(D4/E4)</f>
        <v>6.3689999999999998</v>
      </c>
      <c r="G4" s="30">
        <v>0</v>
      </c>
      <c r="H4" s="4">
        <v>1</v>
      </c>
      <c r="I4" s="30">
        <f t="shared" ref="I4:I8" si="1">SUM(F4*H4+G4/E4)</f>
        <v>6.3689999999999998</v>
      </c>
    </row>
    <row r="5" spans="1:10" x14ac:dyDescent="0.3">
      <c r="A5" s="4">
        <v>3</v>
      </c>
      <c r="B5" s="6">
        <v>2278432</v>
      </c>
      <c r="C5" s="5" t="s">
        <v>14</v>
      </c>
      <c r="D5" s="30">
        <v>268.37</v>
      </c>
      <c r="E5" s="4">
        <v>50</v>
      </c>
      <c r="F5" s="30">
        <f t="shared" si="0"/>
        <v>5.3673999999999999</v>
      </c>
      <c r="G5" s="30">
        <v>0</v>
      </c>
      <c r="H5" s="4">
        <v>1</v>
      </c>
      <c r="I5" s="30">
        <f t="shared" si="1"/>
        <v>5.3673999999999999</v>
      </c>
    </row>
    <row r="6" spans="1:10" x14ac:dyDescent="0.3">
      <c r="A6" s="4">
        <v>4</v>
      </c>
      <c r="B6" s="6">
        <v>2854115</v>
      </c>
      <c r="C6" s="5" t="s">
        <v>15</v>
      </c>
      <c r="D6" s="30">
        <v>44.1</v>
      </c>
      <c r="E6" s="4">
        <v>30</v>
      </c>
      <c r="F6" s="30">
        <f t="shared" si="0"/>
        <v>1.47</v>
      </c>
      <c r="G6" s="30">
        <v>0</v>
      </c>
      <c r="H6" s="4">
        <v>3</v>
      </c>
      <c r="I6" s="30">
        <f t="shared" si="1"/>
        <v>4.41</v>
      </c>
    </row>
    <row r="7" spans="1:10" x14ac:dyDescent="0.3">
      <c r="A7" s="4">
        <v>5</v>
      </c>
      <c r="B7" s="4" t="s">
        <v>16</v>
      </c>
      <c r="C7" s="5" t="s">
        <v>17</v>
      </c>
      <c r="D7" s="30">
        <v>51.28</v>
      </c>
      <c r="E7" s="4">
        <v>10</v>
      </c>
      <c r="F7" s="30">
        <f t="shared" si="0"/>
        <v>5.1280000000000001</v>
      </c>
      <c r="G7" s="30">
        <v>0</v>
      </c>
      <c r="H7" s="4">
        <v>1</v>
      </c>
      <c r="I7" s="30">
        <f t="shared" si="1"/>
        <v>5.1280000000000001</v>
      </c>
    </row>
    <row r="8" spans="1:10" x14ac:dyDescent="0.3">
      <c r="A8" s="4">
        <v>6</v>
      </c>
      <c r="B8" s="4" t="s">
        <v>18</v>
      </c>
      <c r="C8" s="5" t="s">
        <v>19</v>
      </c>
      <c r="D8" s="30">
        <v>592.25</v>
      </c>
      <c r="E8" s="4">
        <v>10</v>
      </c>
      <c r="F8" s="30">
        <f t="shared" si="0"/>
        <v>59.225000000000001</v>
      </c>
      <c r="G8" s="30">
        <v>0</v>
      </c>
      <c r="H8" s="4">
        <v>0.33</v>
      </c>
      <c r="I8" s="30">
        <f t="shared" si="1"/>
        <v>19.544250000000002</v>
      </c>
      <c r="J8" t="s">
        <v>20</v>
      </c>
    </row>
    <row r="9" spans="1:10" x14ac:dyDescent="0.3">
      <c r="A9" s="22" t="s">
        <v>21</v>
      </c>
      <c r="B9" s="23"/>
      <c r="C9" s="23"/>
      <c r="D9" s="23"/>
      <c r="E9" s="23"/>
      <c r="F9" s="23"/>
      <c r="G9" s="23"/>
      <c r="H9" s="23"/>
      <c r="I9" s="39">
        <f>SUM(I3:I8)</f>
        <v>53.06065000000001</v>
      </c>
    </row>
    <row r="10" spans="1:10" ht="15.6" customHeight="1" x14ac:dyDescent="0.3">
      <c r="A10" s="42" t="s">
        <v>22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10" ht="15.6" customHeight="1" x14ac:dyDescent="0.3">
      <c r="A11" s="3" t="s">
        <v>0</v>
      </c>
      <c r="B11" s="3" t="s">
        <v>1</v>
      </c>
      <c r="C11" s="3" t="s">
        <v>2</v>
      </c>
      <c r="D11" s="29" t="s">
        <v>98</v>
      </c>
      <c r="E11" s="3" t="s">
        <v>4</v>
      </c>
      <c r="F11" s="29" t="s">
        <v>99</v>
      </c>
      <c r="G11" s="29" t="s">
        <v>105</v>
      </c>
      <c r="H11" s="3" t="s">
        <v>7</v>
      </c>
      <c r="I11" s="35" t="s">
        <v>104</v>
      </c>
      <c r="J11" s="29" t="s">
        <v>95</v>
      </c>
    </row>
    <row r="12" spans="1:10" x14ac:dyDescent="0.3">
      <c r="A12" s="7">
        <v>1</v>
      </c>
      <c r="B12" s="7" t="s">
        <v>110</v>
      </c>
      <c r="C12" s="8" t="s">
        <v>24</v>
      </c>
      <c r="D12" s="7">
        <v>301.95</v>
      </c>
      <c r="E12" s="7">
        <v>10</v>
      </c>
      <c r="F12" s="41">
        <f>SUM(D12/E12)</f>
        <v>30.195</v>
      </c>
      <c r="G12" s="7">
        <v>28.14</v>
      </c>
      <c r="H12" s="7">
        <v>1</v>
      </c>
      <c r="I12" s="7">
        <v>414</v>
      </c>
      <c r="J12" s="14">
        <f ca="1">(F12+G12/E12)*Заказы!$L$2+I12/E12</f>
        <v>142.9785957</v>
      </c>
    </row>
    <row r="13" spans="1:10" x14ac:dyDescent="0.3">
      <c r="A13" s="32" t="s">
        <v>25</v>
      </c>
      <c r="B13" s="32"/>
      <c r="C13" s="32"/>
      <c r="D13" s="32"/>
      <c r="E13" s="32"/>
      <c r="F13" s="32"/>
      <c r="G13" s="32"/>
      <c r="H13" s="32"/>
      <c r="I13" s="33"/>
      <c r="J13" s="39">
        <f ca="1">SUM(J12)</f>
        <v>142.9785957</v>
      </c>
    </row>
    <row r="14" spans="1:10" x14ac:dyDescent="0.3">
      <c r="A14" s="43" t="s">
        <v>26</v>
      </c>
      <c r="B14" s="44"/>
      <c r="C14" s="44"/>
      <c r="D14" s="44"/>
      <c r="E14" s="44"/>
      <c r="F14" s="44"/>
      <c r="G14" s="44"/>
      <c r="H14" s="44"/>
      <c r="I14" s="45"/>
      <c r="J14" s="46">
        <f ca="1">J13+I9</f>
        <v>196.03924570000001</v>
      </c>
    </row>
  </sheetData>
  <mergeCells count="5">
    <mergeCell ref="A9:H9"/>
    <mergeCell ref="A2:I2"/>
    <mergeCell ref="A10:J10"/>
    <mergeCell ref="A13:I13"/>
    <mergeCell ref="A14:I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activeCell="J13" sqref="J13"/>
    </sheetView>
  </sheetViews>
  <sheetFormatPr defaultRowHeight="14.4" x14ac:dyDescent="0.3"/>
  <cols>
    <col min="1" max="1" width="3.109375" bestFit="1" customWidth="1"/>
    <col min="2" max="2" width="19" bestFit="1" customWidth="1"/>
    <col min="3" max="3" width="71.77734375" bestFit="1" customWidth="1"/>
    <col min="4" max="4" width="14.21875" bestFit="1" customWidth="1"/>
    <col min="5" max="5" width="15.21875" bestFit="1" customWidth="1"/>
    <col min="6" max="6" width="11.88671875" bestFit="1" customWidth="1"/>
    <col min="7" max="7" width="10.6640625" bestFit="1" customWidth="1"/>
    <col min="8" max="8" width="16.77734375" bestFit="1" customWidth="1"/>
    <col min="9" max="9" width="11.44140625" bestFit="1" customWidth="1"/>
    <col min="10" max="10" width="22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ht="15.6" customHeight="1" x14ac:dyDescent="0.3">
      <c r="A2" s="24" t="s">
        <v>9</v>
      </c>
      <c r="B2" s="23"/>
      <c r="C2" s="23"/>
      <c r="D2" s="23"/>
      <c r="E2" s="23"/>
      <c r="F2" s="23"/>
      <c r="G2" s="23"/>
      <c r="H2" s="23"/>
      <c r="I2" s="23"/>
    </row>
    <row r="3" spans="1:10" x14ac:dyDescent="0.3">
      <c r="A3" s="4">
        <v>1</v>
      </c>
      <c r="B3" s="4">
        <v>2896254</v>
      </c>
      <c r="C3" s="5" t="s">
        <v>118</v>
      </c>
      <c r="D3" s="30"/>
      <c r="E3" s="4">
        <v>10</v>
      </c>
      <c r="F3" s="30">
        <f>SUM(D3/E3)</f>
        <v>0</v>
      </c>
      <c r="G3" s="30">
        <v>0</v>
      </c>
      <c r="H3" s="4">
        <v>1</v>
      </c>
      <c r="I3" s="30">
        <f>SUM(F3*H3+G3/E3)</f>
        <v>0</v>
      </c>
    </row>
    <row r="4" spans="1:10" x14ac:dyDescent="0.3">
      <c r="A4" s="4">
        <v>2</v>
      </c>
      <c r="B4" s="4">
        <v>2896047</v>
      </c>
      <c r="C4" s="5" t="s">
        <v>119</v>
      </c>
      <c r="D4" s="30"/>
      <c r="E4" s="4">
        <v>10</v>
      </c>
      <c r="F4" s="30">
        <f t="shared" ref="F4:F7" si="0">SUM(D4/E4)</f>
        <v>0</v>
      </c>
      <c r="G4" s="30">
        <v>0</v>
      </c>
      <c r="H4" s="4">
        <v>1</v>
      </c>
      <c r="I4" s="30">
        <f t="shared" ref="I4:I7" si="1">SUM(F4*H4+G4/E4)</f>
        <v>0</v>
      </c>
    </row>
    <row r="5" spans="1:10" x14ac:dyDescent="0.3">
      <c r="A5" s="4">
        <v>4</v>
      </c>
      <c r="B5" s="6">
        <v>2896199</v>
      </c>
      <c r="C5" s="5" t="s">
        <v>94</v>
      </c>
      <c r="D5" s="30">
        <v>348.71</v>
      </c>
      <c r="E5" s="4">
        <v>50</v>
      </c>
      <c r="F5" s="30">
        <f t="shared" si="0"/>
        <v>6.9741999999999997</v>
      </c>
      <c r="G5" s="30">
        <v>0</v>
      </c>
      <c r="H5" s="4">
        <v>1</v>
      </c>
      <c r="I5" s="30">
        <f t="shared" si="1"/>
        <v>6.9741999999999997</v>
      </c>
    </row>
    <row r="6" spans="1:10" x14ac:dyDescent="0.3">
      <c r="A6" s="4">
        <v>5</v>
      </c>
      <c r="B6" s="4">
        <v>2896115</v>
      </c>
      <c r="C6" s="5" t="s">
        <v>120</v>
      </c>
      <c r="D6" s="30">
        <v>55.04</v>
      </c>
      <c r="E6" s="4">
        <v>10</v>
      </c>
      <c r="F6" s="30">
        <f t="shared" si="0"/>
        <v>5.5039999999999996</v>
      </c>
      <c r="G6" s="30">
        <v>0</v>
      </c>
      <c r="H6" s="4">
        <v>1</v>
      </c>
      <c r="I6" s="30">
        <f t="shared" si="1"/>
        <v>5.5039999999999996</v>
      </c>
    </row>
    <row r="7" spans="1:10" ht="15.6" customHeight="1" x14ac:dyDescent="0.3">
      <c r="A7" s="4">
        <v>6</v>
      </c>
      <c r="B7" s="4">
        <v>2896283</v>
      </c>
      <c r="C7" s="5" t="s">
        <v>121</v>
      </c>
      <c r="D7" s="30">
        <v>389.55</v>
      </c>
      <c r="E7" s="4">
        <v>10</v>
      </c>
      <c r="F7" s="30">
        <f t="shared" si="0"/>
        <v>38.954999999999998</v>
      </c>
      <c r="G7" s="30">
        <v>0</v>
      </c>
      <c r="H7" s="4">
        <v>1</v>
      </c>
      <c r="I7" s="30">
        <f t="shared" si="1"/>
        <v>38.954999999999998</v>
      </c>
    </row>
    <row r="8" spans="1:10" x14ac:dyDescent="0.3">
      <c r="A8" s="22" t="s">
        <v>21</v>
      </c>
      <c r="B8" s="23"/>
      <c r="C8" s="23"/>
      <c r="D8" s="23"/>
      <c r="E8" s="23"/>
      <c r="F8" s="23"/>
      <c r="G8" s="23"/>
      <c r="H8" s="23"/>
      <c r="I8" s="39">
        <f>SUM(I3:I7)</f>
        <v>51.433199999999999</v>
      </c>
    </row>
    <row r="9" spans="1:10" ht="15.6" x14ac:dyDescent="0.3">
      <c r="A9" s="42" t="s">
        <v>22</v>
      </c>
      <c r="B9" s="42"/>
      <c r="C9" s="42"/>
      <c r="D9" s="42"/>
      <c r="E9" s="42"/>
      <c r="F9" s="42"/>
      <c r="G9" s="42"/>
      <c r="H9" s="42"/>
      <c r="I9" s="42"/>
      <c r="J9" s="42"/>
    </row>
    <row r="10" spans="1:10" x14ac:dyDescent="0.3">
      <c r="A10" s="3" t="s">
        <v>0</v>
      </c>
      <c r="B10" s="3" t="s">
        <v>1</v>
      </c>
      <c r="C10" s="3" t="s">
        <v>2</v>
      </c>
      <c r="D10" s="29" t="s">
        <v>98</v>
      </c>
      <c r="E10" s="3" t="s">
        <v>4</v>
      </c>
      <c r="F10" s="29" t="s">
        <v>99</v>
      </c>
      <c r="G10" s="29" t="s">
        <v>105</v>
      </c>
      <c r="H10" s="3" t="s">
        <v>7</v>
      </c>
      <c r="I10" s="35" t="s">
        <v>104</v>
      </c>
      <c r="J10" s="29" t="s">
        <v>95</v>
      </c>
    </row>
    <row r="11" spans="1:10" x14ac:dyDescent="0.3">
      <c r="A11" s="7">
        <v>1</v>
      </c>
      <c r="B11" s="7" t="s">
        <v>111</v>
      </c>
      <c r="C11" s="8" t="s">
        <v>112</v>
      </c>
      <c r="D11" s="37">
        <v>167.54</v>
      </c>
      <c r="E11" s="7">
        <v>25</v>
      </c>
      <c r="F11" s="36">
        <f>SUM(D11/E11)</f>
        <v>6.7016</v>
      </c>
      <c r="G11" s="36">
        <v>56.39</v>
      </c>
      <c r="H11" s="7">
        <v>1</v>
      </c>
      <c r="I11" s="14">
        <v>356</v>
      </c>
      <c r="J11" s="14">
        <f ca="1">(F11+G11/E11)*Заказы!$L$2+I11/E11</f>
        <v>41.80399156</v>
      </c>
    </row>
    <row r="12" spans="1:10" x14ac:dyDescent="0.3">
      <c r="A12" s="4">
        <v>2</v>
      </c>
      <c r="B12" s="4" t="s">
        <v>107</v>
      </c>
      <c r="C12" s="5" t="s">
        <v>106</v>
      </c>
      <c r="D12" s="37">
        <v>274.17</v>
      </c>
      <c r="E12" s="7">
        <v>50</v>
      </c>
      <c r="F12" s="36">
        <f t="shared" ref="F11:F12" si="2">SUM(D12/E12)</f>
        <v>5.4834000000000005</v>
      </c>
      <c r="G12" s="36">
        <v>43.72</v>
      </c>
      <c r="H12" s="7">
        <v>1</v>
      </c>
      <c r="I12" s="14">
        <v>407</v>
      </c>
      <c r="J12" s="14">
        <f ca="1">(F12+G12/E12)*Заказы!$L$2+I12/E12</f>
        <v>27.70485794</v>
      </c>
    </row>
    <row r="13" spans="1:10" x14ac:dyDescent="0.3">
      <c r="A13" s="4">
        <v>3</v>
      </c>
      <c r="B13" s="4" t="s">
        <v>109</v>
      </c>
      <c r="C13" s="5" t="s">
        <v>108</v>
      </c>
      <c r="D13" s="37">
        <v>283.99</v>
      </c>
      <c r="E13" s="7">
        <v>50</v>
      </c>
      <c r="F13" s="36">
        <v>56.39</v>
      </c>
      <c r="G13" s="36">
        <v>43.72</v>
      </c>
      <c r="H13" s="7">
        <v>1</v>
      </c>
      <c r="I13" s="14">
        <v>419</v>
      </c>
      <c r="J13" s="14">
        <f ca="1">(F13+G13/E13)*Заказы!$L$2+I13/E13</f>
        <v>184.59973812000001</v>
      </c>
    </row>
    <row r="14" spans="1:10" x14ac:dyDescent="0.3">
      <c r="A14" s="32" t="s">
        <v>25</v>
      </c>
      <c r="B14" s="32"/>
      <c r="C14" s="32"/>
      <c r="D14" s="32"/>
      <c r="E14" s="32"/>
      <c r="F14" s="32"/>
      <c r="G14" s="32"/>
      <c r="H14" s="32"/>
      <c r="I14" s="33"/>
      <c r="J14" s="39">
        <f ca="1">SUM(J11:J13)</f>
        <v>254.10858762000001</v>
      </c>
    </row>
    <row r="15" spans="1:10" x14ac:dyDescent="0.3">
      <c r="A15" s="43" t="s">
        <v>26</v>
      </c>
      <c r="B15" s="44"/>
      <c r="C15" s="44"/>
      <c r="D15" s="44"/>
      <c r="E15" s="44"/>
      <c r="F15" s="44"/>
      <c r="G15" s="44"/>
      <c r="H15" s="44"/>
      <c r="I15" s="45"/>
      <c r="J15" s="46">
        <f ca="1">J14+I8</f>
        <v>305.54178762000004</v>
      </c>
    </row>
  </sheetData>
  <mergeCells count="5">
    <mergeCell ref="A2:I2"/>
    <mergeCell ref="A8:H8"/>
    <mergeCell ref="A9:J9"/>
    <mergeCell ref="A14:I14"/>
    <mergeCell ref="A15:I15"/>
  </mergeCells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tabSelected="1" workbookViewId="0">
      <selection activeCell="J11" sqref="J11"/>
    </sheetView>
  </sheetViews>
  <sheetFormatPr defaultRowHeight="14.4" x14ac:dyDescent="0.3"/>
  <cols>
    <col min="1" max="1" width="3.109375" bestFit="1" customWidth="1"/>
    <col min="2" max="2" width="19" bestFit="1" customWidth="1"/>
    <col min="3" max="3" width="72.77734375" bestFit="1" customWidth="1"/>
    <col min="4" max="4" width="14.21875" bestFit="1" customWidth="1"/>
    <col min="5" max="5" width="15.21875" bestFit="1" customWidth="1"/>
    <col min="6" max="6" width="11.88671875" bestFit="1" customWidth="1"/>
    <col min="7" max="7" width="10.6640625" bestFit="1" customWidth="1"/>
    <col min="8" max="8" width="16.77734375" bestFit="1" customWidth="1"/>
    <col min="9" max="9" width="11.44140625" bestFit="1" customWidth="1"/>
    <col min="10" max="10" width="22.4414062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ht="15.6" customHeight="1" x14ac:dyDescent="0.3">
      <c r="A2" s="24" t="s">
        <v>9</v>
      </c>
      <c r="B2" s="23"/>
      <c r="C2" s="23"/>
      <c r="D2" s="23"/>
      <c r="E2" s="23"/>
      <c r="F2" s="23"/>
      <c r="G2" s="23"/>
      <c r="H2" s="23"/>
      <c r="I2" s="23"/>
    </row>
    <row r="3" spans="1:10" x14ac:dyDescent="0.3">
      <c r="A3" s="4">
        <v>1</v>
      </c>
      <c r="B3" s="4">
        <v>2896270</v>
      </c>
      <c r="C3" s="5" t="s">
        <v>89</v>
      </c>
      <c r="D3" s="30">
        <v>122.42</v>
      </c>
      <c r="E3" s="4">
        <v>10</v>
      </c>
      <c r="F3" s="30">
        <f>SUM(D3/E3)</f>
        <v>12.242000000000001</v>
      </c>
      <c r="G3" s="4">
        <v>0</v>
      </c>
      <c r="H3" s="4">
        <v>1</v>
      </c>
      <c r="I3" s="30">
        <f>SUM(F3*H3+G3)</f>
        <v>12.242000000000001</v>
      </c>
    </row>
    <row r="4" spans="1:10" x14ac:dyDescent="0.3">
      <c r="A4" s="4">
        <v>2</v>
      </c>
      <c r="B4" s="4">
        <v>2896089</v>
      </c>
      <c r="C4" s="5" t="s">
        <v>90</v>
      </c>
      <c r="D4" s="30">
        <v>91.3</v>
      </c>
      <c r="E4" s="4">
        <v>10</v>
      </c>
      <c r="F4" s="30">
        <f t="shared" ref="F4:F6" si="0">SUM(D4/E4)</f>
        <v>9.129999999999999</v>
      </c>
      <c r="G4" s="4">
        <v>0</v>
      </c>
      <c r="H4" s="4">
        <v>1</v>
      </c>
      <c r="I4" s="30">
        <f t="shared" ref="I4:I6" si="1">SUM(F4*H4+G4)</f>
        <v>9.129999999999999</v>
      </c>
    </row>
    <row r="5" spans="1:10" x14ac:dyDescent="0.3">
      <c r="A5" s="4">
        <v>3</v>
      </c>
      <c r="B5" s="4">
        <v>2896131</v>
      </c>
      <c r="C5" s="5" t="s">
        <v>92</v>
      </c>
      <c r="D5" s="30">
        <v>72.62</v>
      </c>
      <c r="E5" s="4">
        <v>10</v>
      </c>
      <c r="F5" s="30">
        <f t="shared" si="0"/>
        <v>7.2620000000000005</v>
      </c>
      <c r="G5" s="4">
        <v>0</v>
      </c>
      <c r="H5" s="4">
        <v>1</v>
      </c>
      <c r="I5" s="30">
        <f t="shared" si="1"/>
        <v>7.2620000000000005</v>
      </c>
    </row>
    <row r="6" spans="1:10" x14ac:dyDescent="0.3">
      <c r="A6" s="4">
        <v>4</v>
      </c>
      <c r="B6" s="4">
        <v>2896306</v>
      </c>
      <c r="C6" s="5" t="s">
        <v>93</v>
      </c>
      <c r="D6" s="30">
        <v>540.88</v>
      </c>
      <c r="E6" s="4">
        <v>10</v>
      </c>
      <c r="F6" s="30">
        <f t="shared" si="0"/>
        <v>54.088000000000001</v>
      </c>
      <c r="G6" s="4">
        <v>0</v>
      </c>
      <c r="H6" s="4">
        <v>1</v>
      </c>
      <c r="I6" s="30">
        <f t="shared" si="1"/>
        <v>54.088000000000001</v>
      </c>
    </row>
    <row r="7" spans="1:10" ht="15.6" customHeight="1" x14ac:dyDescent="0.3">
      <c r="A7" s="27"/>
      <c r="B7" s="27"/>
      <c r="C7" s="28"/>
      <c r="D7" s="27"/>
      <c r="E7" s="27"/>
      <c r="F7" s="27"/>
      <c r="G7" s="27"/>
      <c r="H7" s="27"/>
      <c r="I7" s="7"/>
    </row>
    <row r="8" spans="1:10" x14ac:dyDescent="0.3">
      <c r="A8" s="22" t="s">
        <v>21</v>
      </c>
      <c r="B8" s="23"/>
      <c r="C8" s="23"/>
      <c r="D8" s="23"/>
      <c r="E8" s="23"/>
      <c r="F8" s="23"/>
      <c r="G8" s="23"/>
      <c r="H8" s="23"/>
      <c r="I8" s="39">
        <f>SUM(I3:I7)</f>
        <v>82.722000000000008</v>
      </c>
    </row>
    <row r="9" spans="1:10" ht="15.6" x14ac:dyDescent="0.3">
      <c r="A9" s="42" t="s">
        <v>22</v>
      </c>
      <c r="B9" s="42"/>
      <c r="C9" s="42"/>
      <c r="D9" s="42"/>
      <c r="E9" s="42"/>
      <c r="F9" s="42"/>
      <c r="G9" s="42"/>
      <c r="H9" s="42"/>
      <c r="I9" s="42"/>
      <c r="J9" s="42"/>
    </row>
    <row r="10" spans="1:10" x14ac:dyDescent="0.3">
      <c r="A10" s="3" t="s">
        <v>0</v>
      </c>
      <c r="B10" s="3" t="s">
        <v>1</v>
      </c>
      <c r="C10" s="3" t="s">
        <v>2</v>
      </c>
      <c r="D10" s="29" t="s">
        <v>98</v>
      </c>
      <c r="E10" s="3" t="s">
        <v>4</v>
      </c>
      <c r="F10" s="29" t="s">
        <v>99</v>
      </c>
      <c r="G10" s="29" t="s">
        <v>105</v>
      </c>
      <c r="H10" s="3" t="s">
        <v>7</v>
      </c>
      <c r="I10" s="35" t="s">
        <v>104</v>
      </c>
      <c r="J10" s="29" t="s">
        <v>95</v>
      </c>
    </row>
    <row r="11" spans="1:10" x14ac:dyDescent="0.3">
      <c r="A11" s="7">
        <v>1</v>
      </c>
      <c r="B11" s="7" t="s">
        <v>113</v>
      </c>
      <c r="C11" s="8" t="s">
        <v>114</v>
      </c>
      <c r="D11" s="37">
        <v>138.32</v>
      </c>
      <c r="E11" s="7">
        <v>5</v>
      </c>
      <c r="F11" s="36">
        <f>SUM(D11/E11)</f>
        <v>27.663999999999998</v>
      </c>
      <c r="G11" s="36">
        <v>60.17</v>
      </c>
      <c r="H11" s="7">
        <v>1</v>
      </c>
      <c r="I11" s="14">
        <v>340</v>
      </c>
      <c r="J11" s="14">
        <f ca="1">(F11+G11/E11)*Заказы!$L$2+I11/E11</f>
        <v>190.16265540000001</v>
      </c>
    </row>
    <row r="12" spans="1:10" x14ac:dyDescent="0.3">
      <c r="A12" s="4">
        <v>2</v>
      </c>
      <c r="B12" s="4" t="s">
        <v>107</v>
      </c>
      <c r="C12" s="5" t="s">
        <v>106</v>
      </c>
      <c r="D12" s="37">
        <v>274.17</v>
      </c>
      <c r="E12" s="7">
        <v>50</v>
      </c>
      <c r="F12" s="36">
        <f t="shared" ref="F12" si="2">SUM(D12/E12)</f>
        <v>5.4834000000000005</v>
      </c>
      <c r="G12" s="36">
        <v>43.72</v>
      </c>
      <c r="H12" s="7">
        <v>1</v>
      </c>
      <c r="I12" s="14">
        <v>407</v>
      </c>
      <c r="J12" s="14">
        <f ca="1">(F12+G12/E12)*Заказы!$L$2+I12/E12</f>
        <v>27.70485794</v>
      </c>
    </row>
    <row r="13" spans="1:10" x14ac:dyDescent="0.3">
      <c r="A13" s="4">
        <v>3</v>
      </c>
      <c r="B13" s="4" t="s">
        <v>109</v>
      </c>
      <c r="C13" s="5" t="s">
        <v>108</v>
      </c>
      <c r="D13" s="37">
        <v>283.99</v>
      </c>
      <c r="E13" s="7">
        <v>50</v>
      </c>
      <c r="F13" s="36">
        <v>56.39</v>
      </c>
      <c r="G13" s="36">
        <v>43.72</v>
      </c>
      <c r="H13" s="7">
        <v>1</v>
      </c>
      <c r="I13" s="14">
        <v>419</v>
      </c>
      <c r="J13" s="14">
        <f ca="1">(F13+G13/E13)*Заказы!$L$2+I13/E13</f>
        <v>184.59973812000001</v>
      </c>
    </row>
    <row r="14" spans="1:10" x14ac:dyDescent="0.3">
      <c r="A14" s="32" t="s">
        <v>25</v>
      </c>
      <c r="B14" s="32"/>
      <c r="C14" s="32"/>
      <c r="D14" s="32"/>
      <c r="E14" s="32"/>
      <c r="F14" s="32"/>
      <c r="G14" s="32"/>
      <c r="H14" s="32"/>
      <c r="I14" s="33"/>
      <c r="J14" s="39">
        <f ca="1">SUM(J11:J13)</f>
        <v>402.46725146000006</v>
      </c>
    </row>
    <row r="15" spans="1:10" x14ac:dyDescent="0.3">
      <c r="A15" s="43" t="s">
        <v>26</v>
      </c>
      <c r="B15" s="44"/>
      <c r="C15" s="44"/>
      <c r="D15" s="44"/>
      <c r="E15" s="44"/>
      <c r="F15" s="44"/>
      <c r="G15" s="44"/>
      <c r="H15" s="44"/>
      <c r="I15" s="45"/>
      <c r="J15" s="46">
        <f ca="1">J14+I8</f>
        <v>485.18925146000004</v>
      </c>
    </row>
  </sheetData>
  <mergeCells count="5">
    <mergeCell ref="A2:I2"/>
    <mergeCell ref="A8:H8"/>
    <mergeCell ref="A9:J9"/>
    <mergeCell ref="A14:I14"/>
    <mergeCell ref="A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0DCB-FF63-4D27-BD94-E6F499FDE08A}">
  <dimension ref="A1:J18"/>
  <sheetViews>
    <sheetView workbookViewId="0">
      <selection activeCell="D22" sqref="D22"/>
    </sheetView>
  </sheetViews>
  <sheetFormatPr defaultRowHeight="14.4" x14ac:dyDescent="0.3"/>
  <cols>
    <col min="1" max="1" width="8.21875" bestFit="1" customWidth="1"/>
    <col min="2" max="2" width="21.5546875" bestFit="1" customWidth="1"/>
    <col min="3" max="3" width="72.77734375" bestFit="1" customWidth="1"/>
    <col min="4" max="4" width="17.5546875" bestFit="1" customWidth="1"/>
    <col min="5" max="6" width="15.21875" bestFit="1" customWidth="1"/>
    <col min="7" max="7" width="10.6640625" bestFit="1" customWidth="1"/>
    <col min="8" max="8" width="16.77734375" bestFit="1" customWidth="1"/>
    <col min="9" max="9" width="12" bestFit="1" customWidth="1"/>
    <col min="10" max="10" width="12.5546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29" t="s">
        <v>96</v>
      </c>
      <c r="E1" s="3" t="s">
        <v>4</v>
      </c>
      <c r="F1" s="29" t="s">
        <v>97</v>
      </c>
      <c r="G1" s="3" t="s">
        <v>6</v>
      </c>
      <c r="H1" s="3" t="s">
        <v>7</v>
      </c>
      <c r="I1" s="29" t="s">
        <v>95</v>
      </c>
    </row>
    <row r="2" spans="1:10" ht="15.6" x14ac:dyDescent="0.3">
      <c r="A2" s="24" t="s">
        <v>9</v>
      </c>
      <c r="B2" s="23"/>
      <c r="C2" s="23"/>
      <c r="D2" s="23"/>
      <c r="E2" s="23"/>
      <c r="F2" s="23"/>
      <c r="G2" s="23"/>
      <c r="H2" s="23"/>
      <c r="I2" s="23"/>
    </row>
    <row r="3" spans="1:10" x14ac:dyDescent="0.3">
      <c r="A3" s="4">
        <v>1</v>
      </c>
      <c r="B3" s="4">
        <v>2896270</v>
      </c>
      <c r="C3" s="5" t="s">
        <v>89</v>
      </c>
      <c r="D3" s="30">
        <v>122.42</v>
      </c>
      <c r="E3" s="4">
        <v>10</v>
      </c>
      <c r="F3" s="30">
        <f>SUM(D3/E3)</f>
        <v>12.242000000000001</v>
      </c>
      <c r="G3" s="4">
        <v>0</v>
      </c>
      <c r="H3" s="4">
        <v>1</v>
      </c>
      <c r="I3" s="30">
        <f>SUM(F3*H3+G3)</f>
        <v>12.242000000000001</v>
      </c>
    </row>
    <row r="4" spans="1:10" x14ac:dyDescent="0.3">
      <c r="A4" s="4">
        <v>2</v>
      </c>
      <c r="B4" s="4">
        <v>2896089</v>
      </c>
      <c r="C4" s="5" t="s">
        <v>90</v>
      </c>
      <c r="D4" s="30">
        <v>91.3</v>
      </c>
      <c r="E4" s="4">
        <v>10</v>
      </c>
      <c r="F4" s="30">
        <f t="shared" ref="F4:F8" si="0">SUM(D4/E4)</f>
        <v>9.129999999999999</v>
      </c>
      <c r="G4" s="4">
        <v>0</v>
      </c>
      <c r="H4" s="4">
        <v>1</v>
      </c>
      <c r="I4" s="30">
        <f t="shared" ref="I4:I8" si="1">SUM(F4*H4+G4)</f>
        <v>9.129999999999999</v>
      </c>
    </row>
    <row r="5" spans="1:10" x14ac:dyDescent="0.3">
      <c r="A5" s="4">
        <v>3</v>
      </c>
      <c r="B5" s="31">
        <v>2896238</v>
      </c>
      <c r="C5" s="5" t="s">
        <v>91</v>
      </c>
      <c r="D5" s="30">
        <v>430.56</v>
      </c>
      <c r="E5" s="4">
        <v>50</v>
      </c>
      <c r="F5" s="30">
        <f t="shared" si="0"/>
        <v>8.6112000000000002</v>
      </c>
      <c r="G5" s="4">
        <v>0</v>
      </c>
      <c r="H5" s="4">
        <v>1</v>
      </c>
      <c r="I5" s="30">
        <f t="shared" si="1"/>
        <v>8.6112000000000002</v>
      </c>
    </row>
    <row r="6" spans="1:10" x14ac:dyDescent="0.3">
      <c r="A6" s="4">
        <v>4</v>
      </c>
      <c r="B6" s="4">
        <v>2896131</v>
      </c>
      <c r="C6" s="5" t="s">
        <v>92</v>
      </c>
      <c r="D6" s="30">
        <v>72.62</v>
      </c>
      <c r="E6" s="4">
        <v>10</v>
      </c>
      <c r="F6" s="30">
        <f t="shared" si="0"/>
        <v>7.2620000000000005</v>
      </c>
      <c r="G6" s="4">
        <v>0</v>
      </c>
      <c r="H6" s="4">
        <v>1</v>
      </c>
      <c r="I6" s="30">
        <f t="shared" si="1"/>
        <v>7.2620000000000005</v>
      </c>
    </row>
    <row r="7" spans="1:10" x14ac:dyDescent="0.3">
      <c r="A7" s="4">
        <v>5</v>
      </c>
      <c r="B7" s="4">
        <v>2896306</v>
      </c>
      <c r="C7" s="5" t="s">
        <v>93</v>
      </c>
      <c r="D7" s="30">
        <v>540.88</v>
      </c>
      <c r="E7" s="4">
        <v>10</v>
      </c>
      <c r="F7" s="30">
        <f t="shared" si="0"/>
        <v>54.088000000000001</v>
      </c>
      <c r="G7" s="4">
        <v>0</v>
      </c>
      <c r="H7" s="4">
        <v>1</v>
      </c>
      <c r="I7" s="30">
        <f t="shared" si="1"/>
        <v>54.088000000000001</v>
      </c>
    </row>
    <row r="8" spans="1:10" x14ac:dyDescent="0.3">
      <c r="A8" s="4">
        <v>6</v>
      </c>
      <c r="B8" s="4">
        <v>2896199</v>
      </c>
      <c r="C8" s="5" t="s">
        <v>94</v>
      </c>
      <c r="D8" s="30">
        <v>348.71</v>
      </c>
      <c r="E8" s="4">
        <v>50</v>
      </c>
      <c r="F8" s="30">
        <f t="shared" si="0"/>
        <v>6.9741999999999997</v>
      </c>
      <c r="G8" s="4">
        <v>0</v>
      </c>
      <c r="H8" s="4">
        <v>2</v>
      </c>
      <c r="I8" s="30">
        <f t="shared" si="1"/>
        <v>13.948399999999999</v>
      </c>
    </row>
    <row r="9" spans="1:10" x14ac:dyDescent="0.3">
      <c r="A9" s="27"/>
      <c r="B9" s="27"/>
      <c r="C9" s="28"/>
      <c r="D9" s="27"/>
      <c r="E9" s="27"/>
      <c r="F9" s="27"/>
      <c r="G9" s="27"/>
      <c r="H9" s="27"/>
      <c r="I9" s="7"/>
    </row>
    <row r="10" spans="1:10" x14ac:dyDescent="0.3">
      <c r="A10" s="22" t="s">
        <v>21</v>
      </c>
      <c r="B10" s="23"/>
      <c r="C10" s="23"/>
      <c r="D10" s="23"/>
      <c r="E10" s="23"/>
      <c r="F10" s="23"/>
      <c r="G10" s="23"/>
      <c r="H10" s="23"/>
      <c r="I10" s="39">
        <f>SUM(I3:I9)</f>
        <v>105.2816</v>
      </c>
    </row>
    <row r="11" spans="1:10" ht="15.6" x14ac:dyDescent="0.3">
      <c r="A11" s="34" t="s">
        <v>22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 x14ac:dyDescent="0.3">
      <c r="A12" s="3" t="s">
        <v>0</v>
      </c>
      <c r="B12" s="3" t="s">
        <v>1</v>
      </c>
      <c r="C12" s="3" t="s">
        <v>2</v>
      </c>
      <c r="D12" s="29" t="s">
        <v>98</v>
      </c>
      <c r="E12" s="3" t="s">
        <v>4</v>
      </c>
      <c r="F12" s="29" t="s">
        <v>99</v>
      </c>
      <c r="G12" s="29" t="s">
        <v>105</v>
      </c>
      <c r="H12" s="3" t="s">
        <v>7</v>
      </c>
      <c r="I12" s="35" t="s">
        <v>104</v>
      </c>
      <c r="J12" s="29" t="s">
        <v>95</v>
      </c>
    </row>
    <row r="13" spans="1:10" x14ac:dyDescent="0.3">
      <c r="A13" s="7">
        <v>1</v>
      </c>
      <c r="B13" s="7" t="s">
        <v>102</v>
      </c>
      <c r="C13" s="8" t="s">
        <v>103</v>
      </c>
      <c r="D13" s="37">
        <v>297.18</v>
      </c>
      <c r="E13" s="7">
        <v>5</v>
      </c>
      <c r="F13" s="36">
        <f>SUM(D13/E13)</f>
        <v>59.436</v>
      </c>
      <c r="G13" s="36">
        <v>43.72</v>
      </c>
      <c r="H13" s="7">
        <v>1</v>
      </c>
      <c r="I13" s="14">
        <v>420</v>
      </c>
      <c r="J13" s="14">
        <f ca="1">(F13+G13/E13)*Заказы!$L$2+I13/E13</f>
        <v>293.81031400000006</v>
      </c>
    </row>
    <row r="14" spans="1:10" x14ac:dyDescent="0.3">
      <c r="A14" s="4">
        <v>2</v>
      </c>
      <c r="B14" s="4" t="s">
        <v>100</v>
      </c>
      <c r="C14" s="5" t="s">
        <v>101</v>
      </c>
      <c r="D14" s="37">
        <v>117.31</v>
      </c>
      <c r="E14" s="7">
        <v>50</v>
      </c>
      <c r="F14" s="36">
        <f t="shared" ref="F14:F16" si="2">SUM(D14/E14)</f>
        <v>2.3462000000000001</v>
      </c>
      <c r="G14" s="36">
        <v>43.72</v>
      </c>
      <c r="H14" s="7">
        <v>1</v>
      </c>
      <c r="I14" s="14">
        <v>322</v>
      </c>
      <c r="J14" s="14">
        <f ca="1">(F14+G14/E14)*Заказы!$L$2+I14/E14</f>
        <v>16.350752380000003</v>
      </c>
    </row>
    <row r="15" spans="1:10" x14ac:dyDescent="0.3">
      <c r="A15" s="4">
        <v>3</v>
      </c>
      <c r="B15" s="4" t="s">
        <v>107</v>
      </c>
      <c r="C15" s="5" t="s">
        <v>106</v>
      </c>
      <c r="D15" s="37">
        <v>274.17</v>
      </c>
      <c r="E15" s="7">
        <v>50</v>
      </c>
      <c r="F15" s="36">
        <f t="shared" si="2"/>
        <v>5.4834000000000005</v>
      </c>
      <c r="G15" s="36">
        <v>43.72</v>
      </c>
      <c r="H15" s="7">
        <v>1</v>
      </c>
      <c r="I15" s="14">
        <v>407</v>
      </c>
      <c r="J15" s="14">
        <f ca="1">(F15+G15/E15)*Заказы!$L$2+I15/E15</f>
        <v>27.70485794</v>
      </c>
    </row>
    <row r="16" spans="1:10" x14ac:dyDescent="0.3">
      <c r="A16" s="4">
        <v>4</v>
      </c>
      <c r="B16" s="4" t="s">
        <v>109</v>
      </c>
      <c r="C16" s="5" t="s">
        <v>108</v>
      </c>
      <c r="D16" s="37">
        <v>283.99</v>
      </c>
      <c r="E16" s="7">
        <v>50</v>
      </c>
      <c r="F16" s="36">
        <v>56.39</v>
      </c>
      <c r="G16" s="36">
        <v>43.72</v>
      </c>
      <c r="H16" s="7">
        <v>1</v>
      </c>
      <c r="I16" s="14">
        <v>419</v>
      </c>
      <c r="J16" s="14">
        <f ca="1">(F16+G16/E16)*Заказы!$L$2+I16/E16</f>
        <v>184.59973812000001</v>
      </c>
    </row>
    <row r="17" spans="1:10" x14ac:dyDescent="0.3">
      <c r="A17" s="32" t="s">
        <v>25</v>
      </c>
      <c r="B17" s="32"/>
      <c r="C17" s="32"/>
      <c r="D17" s="32"/>
      <c r="E17" s="32"/>
      <c r="F17" s="32"/>
      <c r="G17" s="32"/>
      <c r="H17" s="32"/>
      <c r="I17" s="33"/>
      <c r="J17" s="39">
        <f ca="1">SUM(J13:J16)</f>
        <v>522.46566244000007</v>
      </c>
    </row>
    <row r="18" spans="1:10" x14ac:dyDescent="0.3">
      <c r="A18" s="43" t="s">
        <v>26</v>
      </c>
      <c r="B18" s="44"/>
      <c r="C18" s="44"/>
      <c r="D18" s="44"/>
      <c r="E18" s="44"/>
      <c r="F18" s="44"/>
      <c r="G18" s="44"/>
      <c r="H18" s="44"/>
      <c r="I18" s="45"/>
      <c r="J18" s="40">
        <f ca="1">J17+I10</f>
        <v>627.7472624400001</v>
      </c>
    </row>
  </sheetData>
  <mergeCells count="5">
    <mergeCell ref="A2:I2"/>
    <mergeCell ref="A10:H10"/>
    <mergeCell ref="A17:I17"/>
    <mergeCell ref="A11:J11"/>
    <mergeCell ref="A18:I18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5D52-B6C5-4F8A-B597-7F31DFEF6A06}">
  <dimension ref="A1:J11"/>
  <sheetViews>
    <sheetView workbookViewId="0">
      <selection activeCell="D13" sqref="D13"/>
    </sheetView>
  </sheetViews>
  <sheetFormatPr defaultRowHeight="14.4" x14ac:dyDescent="0.3"/>
  <cols>
    <col min="1" max="1" width="8.21875" bestFit="1" customWidth="1"/>
    <col min="2" max="2" width="21.5546875" bestFit="1" customWidth="1"/>
    <col min="3" max="3" width="72.77734375" bestFit="1" customWidth="1"/>
    <col min="4" max="4" width="17.5546875" bestFit="1" customWidth="1"/>
    <col min="5" max="6" width="15.21875" bestFit="1" customWidth="1"/>
    <col min="7" max="7" width="10.6640625" bestFit="1" customWidth="1"/>
    <col min="8" max="8" width="16.77734375" bestFit="1" customWidth="1"/>
    <col min="9" max="9" width="12" bestFit="1" customWidth="1"/>
    <col min="10" max="10" width="12.5546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29" t="s">
        <v>96</v>
      </c>
      <c r="E1" s="3" t="s">
        <v>4</v>
      </c>
      <c r="F1" s="29" t="s">
        <v>97</v>
      </c>
      <c r="G1" s="3" t="s">
        <v>6</v>
      </c>
      <c r="H1" s="3" t="s">
        <v>7</v>
      </c>
      <c r="I1" s="29" t="s">
        <v>95</v>
      </c>
    </row>
    <row r="2" spans="1:10" ht="15.6" x14ac:dyDescent="0.3">
      <c r="A2" s="24" t="s">
        <v>9</v>
      </c>
      <c r="B2" s="23"/>
      <c r="C2" s="23"/>
      <c r="D2" s="23"/>
      <c r="E2" s="23"/>
      <c r="F2" s="23"/>
      <c r="G2" s="23"/>
      <c r="H2" s="23"/>
      <c r="I2" s="23"/>
    </row>
    <row r="3" spans="1:10" x14ac:dyDescent="0.3">
      <c r="A3" s="4">
        <v>1</v>
      </c>
      <c r="B3" s="4"/>
      <c r="C3" s="5" t="s">
        <v>115</v>
      </c>
      <c r="D3" s="30">
        <v>30</v>
      </c>
      <c r="E3" s="4">
        <v>1</v>
      </c>
      <c r="F3" s="30">
        <f>SUM(D3/E3)</f>
        <v>30</v>
      </c>
      <c r="G3" s="4">
        <v>0</v>
      </c>
      <c r="H3" s="4">
        <v>1</v>
      </c>
      <c r="I3" s="30">
        <f>SUM(F3*H3+G3)</f>
        <v>30</v>
      </c>
    </row>
    <row r="4" spans="1:10" x14ac:dyDescent="0.3">
      <c r="A4" s="4">
        <v>2</v>
      </c>
      <c r="B4" s="4"/>
      <c r="C4" s="5" t="s">
        <v>116</v>
      </c>
      <c r="D4" s="30">
        <v>30</v>
      </c>
      <c r="E4" s="4">
        <v>1</v>
      </c>
      <c r="F4" s="30">
        <f t="shared" ref="F4" si="0">SUM(D4/E4)</f>
        <v>30</v>
      </c>
      <c r="G4" s="4">
        <v>0</v>
      </c>
      <c r="H4" s="4">
        <v>1</v>
      </c>
      <c r="I4" s="30">
        <f t="shared" ref="I4" si="1">SUM(F4*H4+G4)</f>
        <v>30</v>
      </c>
    </row>
    <row r="5" spans="1:10" x14ac:dyDescent="0.3">
      <c r="A5" s="4">
        <v>3</v>
      </c>
      <c r="B5" s="4"/>
      <c r="C5" s="5" t="s">
        <v>117</v>
      </c>
      <c r="D5" s="30">
        <v>30</v>
      </c>
      <c r="E5" s="4">
        <v>1</v>
      </c>
      <c r="F5" s="30">
        <f t="shared" ref="F5" si="2">SUM(D5/E5)</f>
        <v>30</v>
      </c>
      <c r="G5" s="4">
        <v>0</v>
      </c>
      <c r="H5" s="4">
        <v>1</v>
      </c>
      <c r="I5" s="30">
        <f t="shared" ref="I5" si="3">SUM(F5*H5+G5)</f>
        <v>30</v>
      </c>
    </row>
    <row r="6" spans="1:10" x14ac:dyDescent="0.3">
      <c r="A6" s="22" t="s">
        <v>21</v>
      </c>
      <c r="B6" s="23"/>
      <c r="C6" s="23"/>
      <c r="D6" s="23"/>
      <c r="E6" s="23"/>
      <c r="F6" s="23"/>
      <c r="G6" s="23"/>
      <c r="H6" s="23"/>
      <c r="I6" s="39">
        <f>SUM(I3:I4)</f>
        <v>60</v>
      </c>
    </row>
    <row r="7" spans="1:10" ht="15.6" x14ac:dyDescent="0.3">
      <c r="A7" s="34" t="s">
        <v>22</v>
      </c>
      <c r="B7" s="34"/>
      <c r="C7" s="34"/>
      <c r="D7" s="34"/>
      <c r="E7" s="34"/>
      <c r="F7" s="34"/>
      <c r="G7" s="34"/>
      <c r="H7" s="34"/>
      <c r="I7" s="34"/>
      <c r="J7" s="34"/>
    </row>
    <row r="8" spans="1:10" x14ac:dyDescent="0.3">
      <c r="A8" s="3" t="s">
        <v>0</v>
      </c>
      <c r="B8" s="3" t="s">
        <v>1</v>
      </c>
      <c r="C8" s="3" t="s">
        <v>2</v>
      </c>
      <c r="D8" s="29" t="s">
        <v>98</v>
      </c>
      <c r="E8" s="3" t="s">
        <v>4</v>
      </c>
      <c r="F8" s="29" t="s">
        <v>99</v>
      </c>
      <c r="G8" s="29" t="s">
        <v>105</v>
      </c>
      <c r="H8" s="3" t="s">
        <v>7</v>
      </c>
      <c r="I8" s="35" t="s">
        <v>104</v>
      </c>
      <c r="J8" s="29" t="s">
        <v>95</v>
      </c>
    </row>
    <row r="9" spans="1:10" x14ac:dyDescent="0.3">
      <c r="A9" s="7">
        <v>1</v>
      </c>
      <c r="B9" s="7" t="s">
        <v>102</v>
      </c>
      <c r="C9" s="8" t="s">
        <v>103</v>
      </c>
      <c r="D9" s="37">
        <v>210.42</v>
      </c>
      <c r="E9" s="7">
        <v>5</v>
      </c>
      <c r="F9" s="36">
        <f>SUM(D9/E9)</f>
        <v>42.083999999999996</v>
      </c>
      <c r="G9" s="36">
        <v>32.67</v>
      </c>
      <c r="H9" s="7">
        <v>1</v>
      </c>
      <c r="I9" s="14">
        <v>367</v>
      </c>
      <c r="J9" s="14">
        <f ca="1">(F9+G9/E9)*Заказы!$L$2+I9/E9</f>
        <v>223.0121714</v>
      </c>
    </row>
    <row r="10" spans="1:10" x14ac:dyDescent="0.3">
      <c r="A10" s="32" t="s">
        <v>25</v>
      </c>
      <c r="B10" s="32"/>
      <c r="C10" s="32"/>
      <c r="D10" s="32"/>
      <c r="E10" s="32"/>
      <c r="F10" s="32"/>
      <c r="G10" s="32"/>
      <c r="H10" s="32"/>
      <c r="I10" s="33"/>
      <c r="J10" s="39">
        <f ca="1">SUM(J9:J9)</f>
        <v>223.0121714</v>
      </c>
    </row>
    <row r="11" spans="1:10" x14ac:dyDescent="0.3">
      <c r="A11" s="43" t="s">
        <v>26</v>
      </c>
      <c r="B11" s="44"/>
      <c r="C11" s="44"/>
      <c r="D11" s="44"/>
      <c r="E11" s="44"/>
      <c r="F11" s="44"/>
      <c r="G11" s="44"/>
      <c r="H11" s="44"/>
      <c r="I11" s="45"/>
      <c r="J11" s="40">
        <f ca="1">J10+I6</f>
        <v>283.0121714</v>
      </c>
    </row>
  </sheetData>
  <mergeCells count="5">
    <mergeCell ref="A2:I2"/>
    <mergeCell ref="A6:H6"/>
    <mergeCell ref="A7:J7"/>
    <mergeCell ref="A10:I10"/>
    <mergeCell ref="A11:I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Заказы</vt:lpstr>
      <vt:lpstr>Детали</vt:lpstr>
      <vt:lpstr>Modul_AI</vt:lpstr>
      <vt:lpstr>Modul_Lokomotiv</vt:lpstr>
      <vt:lpstr>Modul_HUB_Displays</vt:lpstr>
      <vt:lpstr>Modul_Main_PLC</vt:lpstr>
      <vt:lpstr>Modul_Display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Ключерев</cp:lastModifiedBy>
  <dcterms:created xsi:type="dcterms:W3CDTF">2026-08-24T14:41:59Z</dcterms:created>
  <dcterms:modified xsi:type="dcterms:W3CDTF">2026-10-12T17:13:05Z</dcterms:modified>
</cp:coreProperties>
</file>